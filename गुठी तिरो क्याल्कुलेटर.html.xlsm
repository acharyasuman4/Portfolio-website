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rial\"/>
    </mc:Choice>
  </mc:AlternateContent>
  <bookViews>
    <workbookView xWindow="0" yWindow="0" windowWidth="19200" windowHeight="7310"/>
  </bookViews>
  <sheets>
    <sheet name="२०७९।८०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I5" i="1" s="1"/>
  <c r="B5" i="1" l="1"/>
  <c r="A5" i="1"/>
  <c r="E3" i="1" l="1"/>
  <c r="C5" i="1" l="1"/>
  <c r="D5" i="1" s="1"/>
</calcChain>
</file>

<file path=xl/sharedStrings.xml><?xml version="1.0" encoding="utf-8"?>
<sst xmlns="http://schemas.openxmlformats.org/spreadsheetml/2006/main" count="11" uniqueCount="11">
  <si>
    <t>रोपनी</t>
  </si>
  <si>
    <t>आना</t>
  </si>
  <si>
    <t>पैसा</t>
  </si>
  <si>
    <t>दाम</t>
  </si>
  <si>
    <t>जम्मा रोपनी</t>
  </si>
  <si>
    <t>बक्यौता</t>
  </si>
  <si>
    <t>चालु</t>
  </si>
  <si>
    <t>जरिवाना</t>
  </si>
  <si>
    <t>जम्मा</t>
  </si>
  <si>
    <t>जम्मा आर्थिक वर्ष</t>
  </si>
  <si>
    <t>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</si>
</sst>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00439]0"/>
  </numFmts>
  <fonts count="12" x14ac:knownFonts="1">
    <font>
      <sz val="11"/>
      <color theme="1"/>
      <name val="Calibri"/>
      <family val="2"/>
      <charset val="1"/>
      <scheme val="minor"/>
    </font>
    <font>
      <sz val="22"/>
      <color theme="1"/>
      <name val="Nirmala UI"/>
      <family val="2"/>
    </font>
    <font>
      <sz val="26"/>
      <color rgb="FFFF0000"/>
      <name val="Nirmala UI"/>
      <family val="2"/>
    </font>
    <font>
      <sz val="11"/>
      <color theme="0"/>
      <name val="Calibri"/>
      <family val="2"/>
      <charset val="1"/>
      <scheme val="minor"/>
    </font>
    <font>
      <b/>
      <i/>
      <sz val="28"/>
      <color rgb="FF00B0F0"/>
      <name val="Blackadder ITC"/>
      <family val="5"/>
    </font>
    <font>
      <b/>
      <sz val="22"/>
      <color theme="0"/>
      <name val="Calibri"/>
      <family val="2"/>
      <scheme val="minor"/>
    </font>
    <font>
      <sz val="26"/>
      <color theme="1"/>
      <name val="Calibri"/>
      <family val="2"/>
      <charset val="1"/>
      <scheme val="minor"/>
    </font>
    <font>
      <sz val="26"/>
      <color theme="0"/>
      <name val="Calibri"/>
      <family val="2"/>
      <charset val="1"/>
      <scheme val="minor"/>
    </font>
    <font>
      <sz val="26"/>
      <color rgb="FF002060"/>
      <name val="Nirmala UI"/>
      <family val="2"/>
    </font>
    <font>
      <sz val="26"/>
      <color rgb="FFC00000"/>
      <name val="Nirmala UI"/>
      <family val="2"/>
    </font>
    <font>
      <sz val="26"/>
      <color rgb="FFFFFF00"/>
      <name val="Nirmala UI"/>
      <family val="2"/>
    </font>
    <font>
      <sz val="22"/>
      <color rgb="FFFFFF00"/>
      <name val="Nirmala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n">
        <color indexed="64"/>
      </top>
      <bottom style="thin">
        <color indexed="64"/>
      </bottom>
      <diagonal/>
    </border>
    <border>
      <left style="thick">
        <color rgb="FF00206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002060"/>
      </right>
      <top style="thin">
        <color indexed="64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</borders>
  <cellStyleXfs count="1">
    <xf numFmtId="0" fontId="0" fillId="0" borderId="0"/>
  </cellStyleXfs>
  <cellXfs count="31">
    <xf numFmtId="0" fontId="0" fillId="0" borderId="0" xfId="0"/>
    <xf numFmtId="164" fontId="0" fillId="0" borderId="0" xfId="0" applyNumberFormat="1"/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" fillId="0" borderId="0" xfId="0" applyFont="1"/>
    <xf numFmtId="0" fontId="1" fillId="4" borderId="1" xfId="0" applyFont="1" applyFill="1" applyBorder="1" applyAlignment="1">
      <alignment horizontal="center" vertical="center"/>
    </xf>
    <xf numFmtId="164" fontId="10" fillId="4" borderId="1" xfId="0" applyNumberFormat="1" applyFont="1" applyFill="1" applyBorder="1" applyAlignment="1">
      <alignment horizontal="center" vertical="center"/>
    </xf>
    <xf numFmtId="1" fontId="10" fillId="4" borderId="1" xfId="0" applyNumberFormat="1" applyFont="1" applyFill="1" applyBorder="1" applyAlignment="1">
      <alignment horizontal="center" vertical="center"/>
    </xf>
    <xf numFmtId="1" fontId="11" fillId="4" borderId="1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" fontId="11" fillId="4" borderId="8" xfId="0" applyNumberFormat="1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" fontId="10" fillId="4" borderId="1" xfId="0" applyNumberFormat="1" applyFont="1" applyFill="1" applyBorder="1" applyAlignment="1">
      <alignment horizontal="center" vertical="center"/>
    </xf>
    <xf numFmtId="1" fontId="10" fillId="4" borderId="9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5D5D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FF5D5D"/>
      <color rgb="FFFF96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6</xdr:row>
          <xdr:rowOff>82550</xdr:rowOff>
        </xdr:from>
        <xdr:to>
          <xdr:col>3</xdr:col>
          <xdr:colOff>234950</xdr:colOff>
          <xdr:row>6</xdr:row>
          <xdr:rowOff>514350</xdr:rowOff>
        </xdr:to>
        <xdr:pic macro="[0]!Toclear"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E$45" spid="_x0000_s10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044700" y="2444750"/>
              <a:ext cx="965200" cy="431800"/>
            </a:xfrm>
            <a:prstGeom prst="rect">
              <a:avLst/>
            </a:prstGeom>
            <a:noFill/>
            <a:scene3d>
              <a:camera prst="orthographicFront"/>
              <a:lightRig rig="threePt" dir="t"/>
            </a:scene3d>
            <a:sp3d>
              <a:bevelT prst="angle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45"/>
  <sheetViews>
    <sheetView showGridLines="0" tabSelected="1" workbookViewId="0">
      <selection activeCell="A2" sqref="A2"/>
    </sheetView>
  </sheetViews>
  <sheetFormatPr defaultRowHeight="14.5" x14ac:dyDescent="0.35"/>
  <cols>
    <col min="1" max="1" width="14.36328125" bestFit="1" customWidth="1"/>
    <col min="2" max="2" width="11.7265625" bestFit="1" customWidth="1"/>
    <col min="3" max="3" width="13.6328125" customWidth="1"/>
    <col min="4" max="4" width="9.1796875" customWidth="1"/>
    <col min="5" max="5" width="22.36328125" customWidth="1"/>
    <col min="9" max="9" width="13.90625" customWidth="1"/>
    <col min="10" max="10" width="10.7265625" customWidth="1"/>
    <col min="11" max="11" width="13.08984375" customWidth="1"/>
  </cols>
  <sheetData>
    <row r="1" spans="1:14" ht="38" thickTop="1" x14ac:dyDescent="0.35">
      <c r="A1" s="11" t="s">
        <v>0</v>
      </c>
      <c r="B1" s="12" t="s">
        <v>1</v>
      </c>
      <c r="C1" s="12" t="s">
        <v>2</v>
      </c>
      <c r="D1" s="12" t="s">
        <v>3</v>
      </c>
      <c r="E1" s="13" t="s">
        <v>4</v>
      </c>
    </row>
    <row r="2" spans="1:14" ht="37.5" x14ac:dyDescent="0.35">
      <c r="A2" s="14"/>
      <c r="B2" s="7"/>
      <c r="C2" s="7"/>
      <c r="D2" s="7"/>
      <c r="E2" s="15">
        <f>SUM(A2,B2/16,C2/64,D2/256)</f>
        <v>0</v>
      </c>
      <c r="J2" s="1"/>
    </row>
    <row r="3" spans="1:14" ht="37.5" x14ac:dyDescent="0.35">
      <c r="A3" s="24" t="s">
        <v>9</v>
      </c>
      <c r="B3" s="25"/>
      <c r="C3" s="26"/>
      <c r="D3" s="8"/>
      <c r="E3" s="16" t="str">
        <f>IF(OR($D$3="",$E$2=0),"*",1)</f>
        <v>*</v>
      </c>
      <c r="J3" s="1"/>
    </row>
    <row r="4" spans="1:14" ht="32.5" x14ac:dyDescent="0.35">
      <c r="A4" s="17" t="s">
        <v>5</v>
      </c>
      <c r="B4" s="6" t="s">
        <v>6</v>
      </c>
      <c r="C4" s="6" t="s">
        <v>7</v>
      </c>
      <c r="D4" s="29" t="s">
        <v>8</v>
      </c>
      <c r="E4" s="30"/>
      <c r="J4" s="1"/>
    </row>
    <row r="5" spans="1:14" ht="37.5" x14ac:dyDescent="0.35">
      <c r="A5" s="18">
        <f>IF($D$3=1,0,IF($D$3&lt;=10,($D$3-1)*100*$E$2,IF($D$3&lt;=18,($D$3-10)*75*$E$2+900*$E$2,IF($D$3&lt;=30,($D$3-18)*25.6*$E$2+900*$E$2+600*$E$2,IF($D$3&lt;50,($D$3-30)*3.3+$E$2*(900+600+307.2),"wrong")))))</f>
        <v>0</v>
      </c>
      <c r="B5" s="9">
        <f>E2*125</f>
        <v>0</v>
      </c>
      <c r="C5" s="9">
        <f>IF($D$3=1,0,IF($D$3=2,$A$5*20%,IF($D$3=3,$A$5*30%,IF($D$3=4,$A$5*40%,IF($D$3=5,$A$5*50%,IF($D$3=6,$A$5*60%,IF($D$3=7,$A$5*70%,IF($D$3=8,$A$5*80%,IF($D$3=9,$A$5*90%,$A$5*100%)))))))))</f>
        <v>0</v>
      </c>
      <c r="D5" s="27">
        <f>SUM($A$5:$C$5)</f>
        <v>0</v>
      </c>
      <c r="E5" s="28"/>
      <c r="I5" s="5">
        <f>COUNT(D3,IF(E2=0,"a",0))</f>
        <v>0</v>
      </c>
      <c r="J5" s="1"/>
    </row>
    <row r="6" spans="1:14" ht="3.5" customHeight="1" x14ac:dyDescent="0.35">
      <c r="A6" s="19"/>
      <c r="B6" s="10"/>
      <c r="C6" s="10"/>
      <c r="D6" s="10"/>
      <c r="E6" s="20"/>
      <c r="I6" s="2"/>
      <c r="J6" s="1"/>
      <c r="N6" s="1"/>
    </row>
    <row r="7" spans="1:14" ht="42" customHeight="1" x14ac:dyDescent="0.35">
      <c r="A7" s="19"/>
      <c r="B7" s="10"/>
      <c r="C7" s="10"/>
      <c r="D7" s="10"/>
      <c r="E7" s="20"/>
      <c r="J7" s="1"/>
    </row>
    <row r="8" spans="1:14" ht="15" thickBot="1" x14ac:dyDescent="0.4">
      <c r="A8" s="21"/>
      <c r="B8" s="22"/>
      <c r="C8" s="22"/>
      <c r="D8" s="22"/>
      <c r="E8" s="23"/>
      <c r="J8" s="1"/>
      <c r="N8" s="1"/>
    </row>
    <row r="9" spans="1:14" ht="15" thickTop="1" x14ac:dyDescent="0.35">
      <c r="J9" s="1"/>
      <c r="N9" s="1"/>
    </row>
    <row r="10" spans="1:14" x14ac:dyDescent="0.35">
      <c r="J10" s="1"/>
      <c r="N10" s="1"/>
    </row>
    <row r="11" spans="1:14" x14ac:dyDescent="0.35">
      <c r="J11" s="1"/>
      <c r="N11" s="1"/>
    </row>
    <row r="12" spans="1:14" x14ac:dyDescent="0.35">
      <c r="J12" s="1"/>
    </row>
    <row r="45" spans="4:5" ht="33.5" x14ac:dyDescent="0.35">
      <c r="D45" s="3"/>
      <c r="E45" s="4" t="s">
        <v>10</v>
      </c>
    </row>
  </sheetData>
  <mergeCells count="3">
    <mergeCell ref="A3:C3"/>
    <mergeCell ref="D5:E5"/>
    <mergeCell ref="D4:E4"/>
  </mergeCells>
  <conditionalFormatting sqref="A2:E2 D3 A5:D5">
    <cfRule type="containsBlanks" dxfId="0" priority="2">
      <formula>LEN(TRIM(A2))=0</formula>
    </cfRule>
  </conditionalFormatting>
  <conditionalFormatting sqref="E3">
    <cfRule type="iconSet" priority="1">
      <iconSet iconSet="3Symbols" showValue="0">
        <cfvo type="percent" val="0"/>
        <cfvo type="num" val="0"/>
        <cfvo type="num" val="1"/>
      </iconSet>
    </cfRule>
  </conditionalFormatting>
  <dataValidations count="5">
    <dataValidation type="whole" allowBlank="1" showInputMessage="1" showErrorMessage="1" prompt="तिरो तिर्न बाँकी जम्मा आर्थिक वर्ष" sqref="D3">
      <formula1>1</formula1>
      <formula2>50</formula2>
    </dataValidation>
    <dataValidation type="whole" allowBlank="1" showInputMessage="1" showErrorMessage="1" errorTitle="Error" error="दाम ३ भन्दा बढी हुँदैन ।" prompt="दाम" sqref="D2">
      <formula1>0</formula1>
      <formula2>3</formula2>
    </dataValidation>
    <dataValidation type="whole" allowBlank="1" showInputMessage="1" showErrorMessage="1" errorTitle="पैसा" error="३ पैसा भन्दा बढी हुँदैन ।" prompt="पैसा" sqref="C2">
      <formula1>0</formula1>
      <formula2>3</formula2>
    </dataValidation>
    <dataValidation type="whole" allowBlank="1" showInputMessage="1" showErrorMessage="1" error="१५ आना भन्दा बढी हुँदैन ।" prompt="आना" sqref="B2">
      <formula1>0</formula1>
      <formula2>15</formula2>
    </dataValidation>
    <dataValidation type="whole" operator="greaterThanOrEqual" allowBlank="1" showInputMessage="1" showErrorMessage="1" prompt="रोपनी" sqref="A2">
      <formula1>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२०७९।८०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2023-02-27T02:54:08Z</dcterms:created>
  <dcterms:modified xsi:type="dcterms:W3CDTF">2023-03-11T15:24:46Z</dcterms:modified>
</cp:coreProperties>
</file>